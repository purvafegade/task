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Question1" sheetId="1" r:id="rId1"/>
    <sheet name="Question2" sheetId="2" r:id="rId2"/>
  </sheets>
  <definedNames>
    <definedName name="Present_Days">Question1!$G$10:$G$24</definedName>
    <definedName name="Total_Days">Question1!$H$10:$H$24</definedName>
    <definedName name="Late_Days">Question1!$I$10:$I$24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<sst xmlns="http://schemas.openxmlformats.org/spreadsheetml/2006/main" count="427" uniqueCount="185">
  <si>
    <t>School Attendance Monitoring System</t>
  </si>
  <si>
    <t>Business Scenario</t>
  </si>
  <si>
    <r>
      <rPr>
        <sz val="11"/>
        <color theme="1"/>
        <rFont val="Aptos Narrow"/>
        <charset val="134"/>
        <scheme val="minor"/>
      </rPr>
      <t xml:space="preserve">You have recently joined </t>
    </r>
    <r>
      <rPr>
        <b/>
        <sz val="11"/>
        <color theme="1"/>
        <rFont val="Aptos Narrow"/>
        <charset val="134"/>
        <scheme val="minor"/>
      </rPr>
      <t>Sunrise Public School</t>
    </r>
    <r>
      <rPr>
        <sz val="11"/>
        <color theme="1"/>
        <rFont val="Aptos Narrow"/>
        <charset val="134"/>
        <scheme val="minor"/>
      </rPr>
      <t xml:space="preserve"> as an Administrative Executive.</t>
    </r>
  </si>
  <si>
    <t>The Principal has noticed that some students are frequently absent from school and wants a report showing attendance performance.</t>
  </si>
  <si>
    <t>Your task is to analyze the attendance data and prepare a summary for the Principal.</t>
  </si>
  <si>
    <t>Student ID</t>
  </si>
  <si>
    <t>Student Name</t>
  </si>
  <si>
    <t>Class</t>
  </si>
  <si>
    <t>Gender</t>
  </si>
  <si>
    <t>House</t>
  </si>
  <si>
    <t>Present Days</t>
  </si>
  <si>
    <t>Total Days</t>
  </si>
  <si>
    <t>Late Days</t>
  </si>
  <si>
    <t>S101</t>
  </si>
  <si>
    <t>Rahul</t>
  </si>
  <si>
    <t>10A</t>
  </si>
  <si>
    <t>Male</t>
  </si>
  <si>
    <t>Red</t>
  </si>
  <si>
    <t>S102</t>
  </si>
  <si>
    <t>Priya</t>
  </si>
  <si>
    <t>Female</t>
  </si>
  <si>
    <t>Blue</t>
  </si>
  <si>
    <t>S103</t>
  </si>
  <si>
    <t>Aman</t>
  </si>
  <si>
    <t>10B</t>
  </si>
  <si>
    <t>Green</t>
  </si>
  <si>
    <t>S104</t>
  </si>
  <si>
    <t>Neha</t>
  </si>
  <si>
    <t>Yellow</t>
  </si>
  <si>
    <t>S105</t>
  </si>
  <si>
    <t>Arjun</t>
  </si>
  <si>
    <t>S106</t>
  </si>
  <si>
    <t>Simran</t>
  </si>
  <si>
    <t>10C</t>
  </si>
  <si>
    <t>S107</t>
  </si>
  <si>
    <t>Karan</t>
  </si>
  <si>
    <t>S108</t>
  </si>
  <si>
    <t>Anjali</t>
  </si>
  <si>
    <t>S109</t>
  </si>
  <si>
    <t>Rohit</t>
  </si>
  <si>
    <t>S110</t>
  </si>
  <si>
    <t>Meera</t>
  </si>
  <si>
    <t>S111</t>
  </si>
  <si>
    <t>Vivek</t>
  </si>
  <si>
    <t>S112</t>
  </si>
  <si>
    <t>Sneha</t>
  </si>
  <si>
    <t>S113</t>
  </si>
  <si>
    <t>Aditya</t>
  </si>
  <si>
    <t>S114</t>
  </si>
  <si>
    <t>Pooja</t>
  </si>
  <si>
    <t>S115</t>
  </si>
  <si>
    <t>Rohan</t>
  </si>
  <si>
    <t>Part A: Understanding the Data</t>
  </si>
  <si>
    <t>Questions</t>
  </si>
  <si>
    <t>Ans</t>
  </si>
  <si>
    <r>
      <rPr>
        <sz val="11"/>
        <color theme="1"/>
        <rFont val="Aptos Narrow"/>
        <charset val="134"/>
        <scheme val="minor"/>
      </rPr>
      <t xml:space="preserve">1. Calculate the </t>
    </r>
    <r>
      <rPr>
        <b/>
        <sz val="11"/>
        <color theme="1"/>
        <rFont val="Aptos Narrow"/>
        <charset val="134"/>
        <scheme val="minor"/>
      </rPr>
      <t>Total Present Days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</si>
  <si>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2. Calculate the </t>
    </r>
    <r>
      <rPr>
        <b/>
        <sz val="11"/>
        <color theme="1"/>
        <rFont val="Aptos Narrow"/>
        <charset val="134"/>
        <scheme val="minor"/>
      </rPr>
      <t>Total School Days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</si>
  <si>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3. Find the </t>
    </r>
    <r>
      <rPr>
        <b/>
        <sz val="11"/>
        <color theme="1"/>
        <rFont val="Aptos Narrow"/>
        <charset val="134"/>
        <scheme val="minor"/>
      </rPr>
      <t>Highest Present Days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</si>
  <si>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4. Find the </t>
    </r>
    <r>
      <rPr>
        <b/>
        <sz val="11"/>
        <color theme="1"/>
        <rFont val="Aptos Narrow"/>
        <charset val="134"/>
        <scheme val="minor"/>
      </rPr>
      <t>Lowest Present Days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</si>
  <si>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5. Calculate the </t>
    </r>
    <r>
      <rPr>
        <b/>
        <sz val="11"/>
        <color theme="1"/>
        <rFont val="Aptos Narrow"/>
        <charset val="134"/>
        <scheme val="minor"/>
      </rPr>
      <t>Average Present Days</t>
    </r>
    <r>
      <rPr>
        <sz val="11"/>
        <color theme="1"/>
        <rFont val="Aptos Narrow"/>
        <charset val="134"/>
        <scheme val="minor"/>
      </rPr>
      <t>.</t>
    </r>
  </si>
  <si>
    <t>6. Count the total number of students in the attendance list.</t>
  </si>
  <si>
    <t>7. Count the total number of student names available in the dataset.</t>
  </si>
  <si>
    <r>
      <rPr>
        <sz val="11"/>
        <color theme="1"/>
        <rFont val="Aptos Narrow"/>
        <charset val="134"/>
        <scheme val="minor"/>
      </rPr>
      <t xml:space="preserve">8. Find the </t>
    </r>
    <r>
      <rPr>
        <b/>
        <sz val="11"/>
        <color theme="1"/>
        <rFont val="Aptos Narrow"/>
        <charset val="134"/>
        <scheme val="minor"/>
      </rPr>
      <t>Highest Late Days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</si>
  <si>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9. Find the </t>
    </r>
    <r>
      <rPr>
        <b/>
        <sz val="11"/>
        <color theme="1"/>
        <rFont val="Aptos Narrow"/>
        <charset val="134"/>
        <scheme val="minor"/>
      </rPr>
      <t>Lowest Late Days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</si>
  <si>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10. Calculate the </t>
    </r>
    <r>
      <rPr>
        <b/>
        <sz val="11"/>
        <color theme="1"/>
        <rFont val="Aptos Narrow"/>
        <charset val="134"/>
        <scheme val="minor"/>
      </rPr>
      <t>Average Late Days</t>
    </r>
    <r>
      <rPr>
        <sz val="11"/>
        <color theme="1"/>
        <rFont val="Aptos Narrow"/>
        <charset val="134"/>
        <scheme val="minor"/>
      </rPr>
      <t>.</t>
    </r>
  </si>
  <si>
    <t>Part B: Attendance Analysis</t>
  </si>
  <si>
    <r>
      <rPr>
        <sz val="11"/>
        <color theme="1"/>
        <rFont val="Aptos Narrow"/>
        <charset val="134"/>
        <scheme val="minor"/>
      </rPr>
      <t xml:space="preserve">Find the </t>
    </r>
    <r>
      <rPr>
        <b/>
        <sz val="11"/>
        <color theme="1"/>
        <rFont val="Aptos Narrow"/>
        <charset val="134"/>
        <scheme val="minor"/>
      </rPr>
      <t>2nd Highest Present Days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</si>
  <si>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Find the </t>
    </r>
    <r>
      <rPr>
        <b/>
        <sz val="11"/>
        <color theme="1"/>
        <rFont val="Aptos Narrow"/>
        <charset val="134"/>
        <scheme val="minor"/>
      </rPr>
      <t>3rd Highest Present Days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</si>
  <si>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Find the </t>
    </r>
    <r>
      <rPr>
        <b/>
        <sz val="11"/>
        <color theme="1"/>
        <rFont val="Aptos Narrow"/>
        <charset val="134"/>
        <scheme val="minor"/>
      </rPr>
      <t>2nd Lowest Present Days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</si>
  <si>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Find the </t>
    </r>
    <r>
      <rPr>
        <b/>
        <sz val="11"/>
        <color theme="1"/>
        <rFont val="Aptos Narrow"/>
        <charset val="134"/>
        <scheme val="minor"/>
      </rPr>
      <t>4th Lowest Present Days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</si>
  <si>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Find the </t>
    </r>
    <r>
      <rPr>
        <b/>
        <sz val="11"/>
        <color theme="1"/>
        <rFont val="Aptos Narrow"/>
        <charset val="134"/>
        <scheme val="minor"/>
      </rPr>
      <t>Highest Late Days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</si>
  <si>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 xml:space="preserve">Find the </t>
    </r>
    <r>
      <rPr>
        <b/>
        <sz val="11"/>
        <color theme="1"/>
        <rFont val="Aptos Narrow"/>
        <charset val="134"/>
        <scheme val="minor"/>
      </rPr>
      <t>2nd Highest Late Days</t>
    </r>
    <r>
      <rPr>
        <sz val="11"/>
        <color theme="1"/>
        <rFont val="Aptos Narrow"/>
        <charset val="134"/>
        <scheme val="minor"/>
      </rPr>
      <t>.</t>
    </r>
  </si>
  <si>
    <t>Part C: Working with Named Ranges</t>
  </si>
  <si>
    <t>Create the following Named Ranges:</t>
  </si>
  <si>
    <t>Present_Days</t>
  </si>
  <si>
    <t>Total_Days</t>
  </si>
  <si>
    <t>Late_Days</t>
  </si>
  <si>
    <t>Using the Named Ranges, calculate:</t>
  </si>
  <si>
    <t>1. Total Present Days</t>
  </si>
  <si>
    <t>2. Average Present Days</t>
  </si>
  <si>
    <t>3. Maximum Present Days</t>
  </si>
  <si>
    <t>4. Minimum Present Days</t>
  </si>
  <si>
    <t>5. 3rd Highest Present Days</t>
  </si>
  <si>
    <t>Part D: Attendance Summary Report</t>
  </si>
  <si>
    <t>Attendance Summary</t>
  </si>
  <si>
    <t>Result</t>
  </si>
  <si>
    <t>Total Students</t>
  </si>
  <si>
    <t>Total Present Days</t>
  </si>
  <si>
    <t>Total School Days</t>
  </si>
  <si>
    <t>Average Present Days</t>
  </si>
  <si>
    <t>Highest Present Days</t>
  </si>
  <si>
    <t>Lowest Present Days</t>
  </si>
  <si>
    <t>Highest Late Days</t>
  </si>
  <si>
    <t>Lowest Late Days</t>
  </si>
  <si>
    <t>Average Late Days</t>
  </si>
  <si>
    <t>2nd Highest Present Days</t>
  </si>
  <si>
    <t>3rd Highest Present Days</t>
  </si>
  <si>
    <t>2nd Lowest Present Days</t>
  </si>
  <si>
    <t>Total Student Names</t>
  </si>
  <si>
    <t>Cell References (Relative, Absolute &amp; Mixed)</t>
  </si>
  <si>
    <t>Q1. Calculate Total Amount using Relative Reference</t>
  </si>
  <si>
    <t>Order ID</t>
  </si>
  <si>
    <t>Order Date</t>
  </si>
  <si>
    <t>Customer Name</t>
  </si>
  <si>
    <t>Category</t>
  </si>
  <si>
    <t>Item Name</t>
  </si>
  <si>
    <t>Quantity</t>
  </si>
  <si>
    <t>Unit Price (₹)</t>
  </si>
  <si>
    <t>Payment Mode</t>
  </si>
  <si>
    <t>ORD001</t>
  </si>
  <si>
    <t>Rahul Sharma</t>
  </si>
  <si>
    <t>Pizza</t>
  </si>
  <si>
    <t>Margherita Pizza</t>
  </si>
  <si>
    <t>UPI</t>
  </si>
  <si>
    <t>ORD002</t>
  </si>
  <si>
    <t>Priya Singh</t>
  </si>
  <si>
    <t>Burger</t>
  </si>
  <si>
    <t>Veg Burger</t>
  </si>
  <si>
    <t>Card</t>
  </si>
  <si>
    <t>ORD003</t>
  </si>
  <si>
    <t>Amit Verma</t>
  </si>
  <si>
    <t>Coffee</t>
  </si>
  <si>
    <t>Cappuccino</t>
  </si>
  <si>
    <t>Cash</t>
  </si>
  <si>
    <t>ORD004</t>
  </si>
  <si>
    <t>Neha Gupta</t>
  </si>
  <si>
    <t>Fries</t>
  </si>
  <si>
    <t>French Fries</t>
  </si>
  <si>
    <t>ORD005</t>
  </si>
  <si>
    <t>Karan Mehta</t>
  </si>
  <si>
    <t>Farmhouse Pizza</t>
  </si>
  <si>
    <t>ORD006</t>
  </si>
  <si>
    <t>Pooja Sharma</t>
  </si>
  <si>
    <t>Cheese Burger</t>
  </si>
  <si>
    <t>ORD007</t>
  </si>
  <si>
    <t>Rohit Jain</t>
  </si>
  <si>
    <t>Cold Coffee</t>
  </si>
  <si>
    <t>ORD008</t>
  </si>
  <si>
    <t>Simran Kaur</t>
  </si>
  <si>
    <t>Cheese Burst Pizza</t>
  </si>
  <si>
    <t>ORD009</t>
  </si>
  <si>
    <t>Arjun Patel</t>
  </si>
  <si>
    <t>Shake</t>
  </si>
  <si>
    <t>Chocolate Shake</t>
  </si>
  <si>
    <t>ORD010</t>
  </si>
  <si>
    <t>Anjali Roy</t>
  </si>
  <si>
    <t>Pasta</t>
  </si>
  <si>
    <t>White Sauce Pasta</t>
  </si>
  <si>
    <t>ORD011</t>
  </si>
  <si>
    <t>Mohit Kumar</t>
  </si>
  <si>
    <t>Chicken Burger</t>
  </si>
  <si>
    <t>ORD012</t>
  </si>
  <si>
    <t>Sneha Das</t>
  </si>
  <si>
    <t>Soft Drink</t>
  </si>
  <si>
    <t>Coca-Cola</t>
  </si>
  <si>
    <t>ORD013</t>
  </si>
  <si>
    <t>Deepak Yadav</t>
  </si>
  <si>
    <t>Veg Supreme Pizza</t>
  </si>
  <si>
    <t>ORD014</t>
  </si>
  <si>
    <t>Riya Kapoor</t>
  </si>
  <si>
    <t>Peri Peri Fries</t>
  </si>
  <si>
    <t>ORD015</t>
  </si>
  <si>
    <t>Vivek Singh</t>
  </si>
  <si>
    <t>Latte</t>
  </si>
  <si>
    <t>Task :  Create a new column named Total Amount and calculate the total bill for each order.  HINT(Total Amount = Quantity × Unit Price)</t>
  </si>
  <si>
    <t xml:space="preserve"> Total Amount </t>
  </si>
  <si>
    <t>Q2. Calculate the Discount Amount using Absolute Reference.</t>
  </si>
  <si>
    <r>
      <rPr>
        <sz val="11"/>
        <color theme="1"/>
        <rFont val="Aptos Narrow"/>
        <charset val="134"/>
        <scheme val="minor"/>
      </rPr>
      <t xml:space="preserve">The restaurant is offering a </t>
    </r>
    <r>
      <rPr>
        <b/>
        <sz val="11"/>
        <color theme="1"/>
        <rFont val="Aptos Narrow"/>
        <charset val="134"/>
        <scheme val="minor"/>
      </rPr>
      <t>10% discount</t>
    </r>
    <r>
      <rPr>
        <sz val="11"/>
        <color theme="1"/>
        <rFont val="Aptos Narrow"/>
        <charset val="134"/>
        <scheme val="minor"/>
      </rPr>
      <t xml:space="preserve"> on every order.</t>
    </r>
  </si>
  <si>
    <r>
      <rPr>
        <sz val="11"/>
        <color theme="1"/>
        <rFont val="Aptos Narrow"/>
        <charset val="134"/>
        <scheme val="minor"/>
      </rPr>
      <t xml:space="preserve">1. Create a new column named </t>
    </r>
    <r>
      <rPr>
        <b/>
        <sz val="11"/>
        <color theme="1"/>
        <rFont val="Aptos Narrow"/>
        <charset val="134"/>
        <scheme val="minor"/>
      </rPr>
      <t>Discount Amount</t>
    </r>
    <r>
      <rPr>
        <sz val="11"/>
        <color theme="1"/>
        <rFont val="Aptos Narrow"/>
        <charset val="134"/>
        <scheme val="minor"/>
      </rPr>
      <t>.</t>
    </r>
  </si>
  <si>
    <t>2. Calculate the discount for each order using the formula: Hint (Discount Amount = Total Amount × Discount Rate)</t>
  </si>
  <si>
    <t>Discount Amount</t>
  </si>
  <si>
    <t>Discount</t>
  </si>
  <si>
    <t>Q3. Calculate Menu Prices for Different Order Types using Mixed Reference</t>
  </si>
  <si>
    <t>The restaurant has different price multipliers for each order type.</t>
  </si>
  <si>
    <r>
      <rPr>
        <sz val="11"/>
        <color theme="1"/>
        <rFont val="Aptos Narrow"/>
        <charset val="134"/>
        <scheme val="minor"/>
      </rPr>
      <t xml:space="preserve">Use the </t>
    </r>
    <r>
      <rPr>
        <b/>
        <sz val="11"/>
        <color theme="1"/>
        <rFont val="Aptos Narrow"/>
        <charset val="134"/>
        <scheme val="minor"/>
      </rPr>
      <t>Base Price</t>
    </r>
    <r>
      <rPr>
        <sz val="11"/>
        <color theme="1"/>
        <rFont val="Aptos Narrow"/>
        <charset val="134"/>
        <scheme val="minor"/>
      </rPr>
      <t xml:space="preserve"> and the </t>
    </r>
    <r>
      <rPr>
        <b/>
        <sz val="11"/>
        <color theme="1"/>
        <rFont val="Aptos Narrow"/>
        <charset val="134"/>
        <scheme val="minor"/>
      </rPr>
      <t>Price Multiplier</t>
    </r>
    <r>
      <rPr>
        <sz val="11"/>
        <color theme="1"/>
        <rFont val="Aptos Narrow"/>
        <charset val="134"/>
        <scheme val="minor"/>
      </rPr>
      <t xml:space="preserve"> table to calculate the menu price for each order type.</t>
    </r>
  </si>
  <si>
    <t>Base Price</t>
  </si>
  <si>
    <t>Price Multiplier</t>
  </si>
  <si>
    <t>Dine In</t>
  </si>
  <si>
    <t>Take Away</t>
  </si>
  <si>
    <t>Delivery</t>
  </si>
  <si>
    <t>Multiplier</t>
  </si>
  <si>
    <t>Task  :</t>
  </si>
  <si>
    <r>
      <rPr>
        <sz val="11"/>
        <color theme="1"/>
        <rFont val="Aptos Narrow"/>
        <charset val="134"/>
        <scheme val="minor"/>
      </rPr>
      <t xml:space="preserve">Calculate the </t>
    </r>
    <r>
      <rPr>
        <b/>
        <sz val="11"/>
        <color theme="1"/>
        <rFont val="Aptos Narrow"/>
        <charset val="134"/>
        <scheme val="minor"/>
      </rPr>
      <t>Menu Price</t>
    </r>
    <r>
      <rPr>
        <sz val="11"/>
        <color theme="1"/>
        <rFont val="Aptos Narrow"/>
        <charset val="134"/>
        <scheme val="minor"/>
      </rPr>
      <t xml:space="preserve"> for </t>
    </r>
    <r>
      <rPr>
        <b/>
        <sz val="11"/>
        <color theme="1"/>
        <rFont val="Aptos Narrow"/>
        <charset val="134"/>
        <scheme val="minor"/>
      </rPr>
      <t>Dine In</t>
    </r>
    <r>
      <rPr>
        <sz val="11"/>
        <color theme="1"/>
        <rFont val="Aptos Narrow"/>
        <charset val="134"/>
        <scheme val="minor"/>
      </rPr>
      <t xml:space="preserve">, </t>
    </r>
    <r>
      <rPr>
        <b/>
        <sz val="11"/>
        <color theme="1"/>
        <rFont val="Aptos Narrow"/>
        <charset val="134"/>
        <scheme val="minor"/>
      </rPr>
      <t>Take Away</t>
    </r>
    <r>
      <rPr>
        <sz val="11"/>
        <color theme="1"/>
        <rFont val="Aptos Narrow"/>
        <charset val="134"/>
        <scheme val="minor"/>
      </rPr>
      <t xml:space="preserve">, and </t>
    </r>
    <r>
      <rPr>
        <b/>
        <sz val="11"/>
        <color theme="1"/>
        <rFont val="Aptos Narrow"/>
        <charset val="134"/>
        <scheme val="minor"/>
      </rPr>
      <t>Delivery</t>
    </r>
    <r>
      <rPr>
        <sz val="11"/>
        <color theme="1"/>
        <rFont val="Aptos Narrow"/>
        <charset val="134"/>
        <scheme val="minor"/>
      </rPr>
      <t xml:space="preserve"> using </t>
    </r>
    <r>
      <rPr>
        <b/>
        <sz val="11"/>
        <color theme="1"/>
        <rFont val="Aptos Narrow"/>
        <charset val="134"/>
        <scheme val="minor"/>
      </rPr>
      <t>Mixed Reference</t>
    </r>
    <r>
      <rPr>
        <sz val="11"/>
        <color theme="1"/>
        <rFont val="Aptos Narrow"/>
        <charset val="134"/>
        <scheme val="minor"/>
      </rPr>
      <t>.</t>
    </r>
  </si>
  <si>
    <t>Hint : Menu Price = Base Price × Price Multiplier</t>
  </si>
  <si>
    <t>Output 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</si>
</sst>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9">
    <font>
      <sz val="11"/>
      <color theme="1"/>
      <name val="Aptos Narrow"/>
      <charset val="134"/>
      <scheme val="minor"/>
    </font>
    <font>
      <b/>
      <sz val="20"/>
      <color theme="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8"/>
      <color theme="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b/>
      <sz val="24"/>
      <color theme="0"/>
      <name val="Aptos Narrow"/>
      <charset val="134"/>
      <scheme val="minor"/>
    </font>
    <font>
      <b/>
      <sz val="24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3" borderId="0" xfId="0" applyFont="1" applyFill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1"/>
  <sheetViews>
    <sheetView tabSelected="1" topLeftCell="A53" workbookViewId="0">
      <selection activeCell="B72" sqref="B72"/>
    </sheetView>
  </sheetViews>
  <sheetFormatPr defaultColWidth="9" defaultRowHeight="14.25"/>
  <cols>
    <col min="1" max="1" width="31.425" style="7" customWidth="1"/>
    <col min="2" max="2" width="17.5666666666667" style="7" customWidth="1"/>
    <col min="3" max="3" width="16.425" style="7" customWidth="1"/>
    <col min="4" max="4" width="33.8583333333333" style="7" customWidth="1"/>
    <col min="5" max="5" width="15.8583333333333" style="7" customWidth="1"/>
    <col min="6" max="6" width="9.14166666666667" style="7"/>
    <col min="7" max="7" width="14.425" style="7" customWidth="1"/>
    <col min="8" max="8" width="20.2833333333333" style="7" customWidth="1"/>
    <col min="9" max="9" width="18.8583333333333" style="7" customWidth="1"/>
    <col min="10" max="10" width="16.5666666666667" style="7" customWidth="1"/>
    <col min="11" max="11" width="20.8583333333333" style="7" customWidth="1"/>
    <col min="12" max="12" width="14.1416666666667" style="7" customWidth="1"/>
    <col min="13" max="13" width="15.2833333333333" style="7" customWidth="1"/>
    <col min="14" max="14" width="15.8583333333333" style="7" customWidth="1"/>
    <col min="15" max="16384" width="9.14166666666667" style="7"/>
  </cols>
  <sheetData>
    <row r="1" ht="15" customHeight="1" spans="1:20">
      <c r="A1" s="37" t="s">
        <v>0</v>
      </c>
      <c r="B1" s="21"/>
      <c r="C1" s="21"/>
      <c r="D1" s="21"/>
      <c r="E1" s="21"/>
      <c r="F1" s="21"/>
      <c r="G1" s="21"/>
      <c r="H1" s="21"/>
      <c r="I1" s="21"/>
      <c r="J1"/>
      <c r="K1"/>
      <c r="L1"/>
      <c r="M1" s="22"/>
      <c r="N1" s="22"/>
      <c r="O1" s="22"/>
      <c r="P1" s="22"/>
      <c r="Q1" s="22"/>
      <c r="R1" s="22"/>
      <c r="S1" s="22"/>
      <c r="T1" s="22"/>
    </row>
    <row r="2" ht="15" customHeight="1" spans="1:20">
      <c r="A2" s="21"/>
      <c r="B2" s="21"/>
      <c r="C2" s="21"/>
      <c r="D2" s="21"/>
      <c r="E2" s="21"/>
      <c r="F2" s="21"/>
      <c r="G2" s="21"/>
      <c r="H2" s="21"/>
      <c r="I2" s="21"/>
      <c r="J2"/>
      <c r="K2"/>
      <c r="L2"/>
      <c r="M2" s="22"/>
      <c r="N2" s="22"/>
      <c r="O2" s="22"/>
      <c r="P2" s="22"/>
      <c r="Q2" s="22"/>
      <c r="R2" s="22"/>
      <c r="S2" s="22"/>
      <c r="T2" s="22"/>
    </row>
    <row r="4" ht="18" customHeight="1" spans="1:20">
      <c r="A4" s="23" t="s">
        <v>1</v>
      </c>
      <c r="B4" s="23"/>
      <c r="C4" s="23"/>
    </row>
    <row r="5" ht="15" spans="1:20">
      <c r="A5" s="24" t="s">
        <v>2</v>
      </c>
    </row>
    <row r="6" spans="1:20">
      <c r="A6" s="24" t="s">
        <v>3</v>
      </c>
    </row>
    <row r="7" spans="1:20">
      <c r="A7" s="24" t="s">
        <v>4</v>
      </c>
    </row>
    <row r="9" ht="15" spans="1:20">
      <c r="B9" s="25" t="s">
        <v>5</v>
      </c>
      <c r="C9" s="25" t="s">
        <v>6</v>
      </c>
      <c r="D9" s="25" t="s">
        <v>7</v>
      </c>
      <c r="E9" s="25" t="s">
        <v>8</v>
      </c>
      <c r="F9" s="25" t="s">
        <v>9</v>
      </c>
      <c r="G9" s="25" t="s">
        <v>10</v>
      </c>
      <c r="H9" s="25" t="s">
        <v>11</v>
      </c>
      <c r="I9" s="25" t="s">
        <v>12</v>
      </c>
    </row>
    <row r="10" ht="15" spans="1:20">
      <c r="A10" s="5"/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>
        <v>18</v>
      </c>
      <c r="H10" s="3">
        <v>20</v>
      </c>
      <c r="I10" s="3">
        <v>2</v>
      </c>
      <c r="J10" s="5"/>
      <c r="K10" s="5"/>
      <c r="L10" s="5"/>
    </row>
    <row r="11" spans="1:20">
      <c r="A11" s="20"/>
      <c r="B11" s="3" t="s">
        <v>18</v>
      </c>
      <c r="C11" s="3" t="s">
        <v>19</v>
      </c>
      <c r="D11" s="3" t="s">
        <v>15</v>
      </c>
      <c r="E11" s="3" t="s">
        <v>20</v>
      </c>
      <c r="F11" s="3" t="s">
        <v>21</v>
      </c>
      <c r="G11" s="3">
        <v>15</v>
      </c>
      <c r="H11" s="3">
        <v>20</v>
      </c>
      <c r="I11" s="3">
        <v>3</v>
      </c>
      <c r="J11" s="20"/>
      <c r="K11" s="20"/>
      <c r="L11" s="20"/>
    </row>
    <row r="12" spans="1:20">
      <c r="A12" s="20"/>
      <c r="B12" s="3" t="s">
        <v>22</v>
      </c>
      <c r="C12" s="3" t="s">
        <v>23</v>
      </c>
      <c r="D12" s="3" t="s">
        <v>24</v>
      </c>
      <c r="E12" s="3" t="s">
        <v>16</v>
      </c>
      <c r="F12" s="3" t="s">
        <v>25</v>
      </c>
      <c r="G12" s="3">
        <v>20</v>
      </c>
      <c r="H12" s="3">
        <v>20</v>
      </c>
      <c r="I12" s="3">
        <v>0</v>
      </c>
      <c r="J12" s="20"/>
      <c r="K12" s="20"/>
      <c r="L12" s="20"/>
    </row>
    <row r="13" spans="1:20">
      <c r="A13" s="20"/>
      <c r="B13" s="3" t="s">
        <v>26</v>
      </c>
      <c r="C13" s="3" t="s">
        <v>27</v>
      </c>
      <c r="D13" s="3" t="s">
        <v>24</v>
      </c>
      <c r="E13" s="3" t="s">
        <v>20</v>
      </c>
      <c r="F13" s="3" t="s">
        <v>28</v>
      </c>
      <c r="G13" s="3">
        <v>17</v>
      </c>
      <c r="H13" s="3">
        <v>20</v>
      </c>
      <c r="I13" s="3">
        <v>1</v>
      </c>
      <c r="J13" s="20"/>
      <c r="K13" s="20"/>
      <c r="L13" s="20"/>
    </row>
    <row r="14" spans="1:20">
      <c r="A14" s="20"/>
      <c r="B14" s="3" t="s">
        <v>29</v>
      </c>
      <c r="C14" s="3" t="s">
        <v>30</v>
      </c>
      <c r="D14" s="3" t="s">
        <v>15</v>
      </c>
      <c r="E14" s="3" t="s">
        <v>16</v>
      </c>
      <c r="F14" s="3" t="s">
        <v>17</v>
      </c>
      <c r="G14" s="3">
        <v>19</v>
      </c>
      <c r="H14" s="3">
        <v>20</v>
      </c>
      <c r="I14" s="3">
        <v>1</v>
      </c>
      <c r="J14" s="20"/>
      <c r="K14" s="20"/>
      <c r="L14" s="20"/>
    </row>
    <row r="15" spans="1:20">
      <c r="A15" s="20"/>
      <c r="B15" s="3" t="s">
        <v>31</v>
      </c>
      <c r="C15" s="3" t="s">
        <v>32</v>
      </c>
      <c r="D15" s="3" t="s">
        <v>33</v>
      </c>
      <c r="E15" s="3" t="s">
        <v>20</v>
      </c>
      <c r="F15" s="3" t="s">
        <v>21</v>
      </c>
      <c r="G15" s="3">
        <v>16</v>
      </c>
      <c r="H15" s="3">
        <v>20</v>
      </c>
      <c r="I15" s="3">
        <v>2</v>
      </c>
      <c r="J15" s="20"/>
      <c r="K15" s="20"/>
      <c r="L15" s="20"/>
    </row>
    <row r="16" spans="1:20">
      <c r="B16" s="3" t="s">
        <v>34</v>
      </c>
      <c r="C16" s="3" t="s">
        <v>35</v>
      </c>
      <c r="D16" s="3" t="s">
        <v>33</v>
      </c>
      <c r="E16" s="3" t="s">
        <v>16</v>
      </c>
      <c r="F16" s="3" t="s">
        <v>25</v>
      </c>
      <c r="G16" s="3">
        <v>14</v>
      </c>
      <c r="H16" s="3">
        <v>20</v>
      </c>
      <c r="I16" s="3">
        <v>4</v>
      </c>
      <c r="J16" s="20"/>
      <c r="K16" s="20"/>
      <c r="L16" s="20"/>
    </row>
    <row r="17" spans="1:19">
      <c r="A17"/>
      <c r="B17" s="3" t="s">
        <v>36</v>
      </c>
      <c r="C17" s="3" t="s">
        <v>37</v>
      </c>
      <c r="D17" s="3" t="s">
        <v>24</v>
      </c>
      <c r="E17" s="3" t="s">
        <v>20</v>
      </c>
      <c r="F17" s="3" t="s">
        <v>28</v>
      </c>
      <c r="G17" s="3">
        <v>18</v>
      </c>
      <c r="H17" s="3">
        <v>20</v>
      </c>
      <c r="I17" s="3">
        <v>1</v>
      </c>
      <c r="J17" s="20"/>
      <c r="K17" s="20"/>
      <c r="L17" s="20"/>
      <c r="M17"/>
      <c r="N17"/>
      <c r="O17"/>
      <c r="P17"/>
      <c r="Q17"/>
    </row>
    <row r="18" spans="1:19">
      <c r="A18"/>
      <c r="B18" s="3" t="s">
        <v>38</v>
      </c>
      <c r="C18" s="3" t="s">
        <v>39</v>
      </c>
      <c r="D18" s="3" t="s">
        <v>15</v>
      </c>
      <c r="E18" s="3" t="s">
        <v>16</v>
      </c>
      <c r="F18" s="3" t="s">
        <v>17</v>
      </c>
      <c r="G18" s="3">
        <v>20</v>
      </c>
      <c r="H18" s="3">
        <v>20</v>
      </c>
      <c r="I18" s="3">
        <v>0</v>
      </c>
      <c r="J18" s="20"/>
      <c r="K18" s="20"/>
      <c r="L18" s="20"/>
      <c r="M18"/>
      <c r="N18"/>
      <c r="O18"/>
      <c r="P18"/>
      <c r="Q18"/>
    </row>
    <row r="19" spans="1:19">
      <c r="A19"/>
      <c r="B19" s="3" t="s">
        <v>40</v>
      </c>
      <c r="C19" s="3" t="s">
        <v>41</v>
      </c>
      <c r="D19" s="3" t="s">
        <v>33</v>
      </c>
      <c r="E19" s="3" t="s">
        <v>20</v>
      </c>
      <c r="F19" s="3" t="s">
        <v>21</v>
      </c>
      <c r="G19" s="3">
        <v>19</v>
      </c>
      <c r="H19" s="3">
        <v>20</v>
      </c>
      <c r="I19" s="3">
        <v>1</v>
      </c>
      <c r="J19" s="20"/>
      <c r="K19" s="20"/>
      <c r="L19" s="20"/>
      <c r="M19"/>
      <c r="N19"/>
      <c r="O19"/>
      <c r="P19"/>
      <c r="Q19"/>
    </row>
    <row r="20" spans="1:19">
      <c r="A20"/>
      <c r="B20" s="3" t="s">
        <v>42</v>
      </c>
      <c r="C20" s="3" t="s">
        <v>43</v>
      </c>
      <c r="D20" s="3" t="s">
        <v>24</v>
      </c>
      <c r="E20" s="3" t="s">
        <v>16</v>
      </c>
      <c r="F20" s="3" t="s">
        <v>25</v>
      </c>
      <c r="G20" s="3">
        <v>13</v>
      </c>
      <c r="H20" s="3">
        <v>20</v>
      </c>
      <c r="I20" s="3">
        <v>5</v>
      </c>
      <c r="J20" s="20"/>
      <c r="K20" s="20"/>
      <c r="L20" s="20"/>
      <c r="M20"/>
      <c r="N20"/>
      <c r="O20"/>
      <c r="P20"/>
      <c r="Q20"/>
    </row>
    <row r="21" spans="1:19">
      <c r="A21"/>
      <c r="B21" s="3" t="s">
        <v>44</v>
      </c>
      <c r="C21" s="3" t="s">
        <v>45</v>
      </c>
      <c r="D21" s="3" t="s">
        <v>15</v>
      </c>
      <c r="E21" s="3" t="s">
        <v>20</v>
      </c>
      <c r="F21" s="3" t="s">
        <v>28</v>
      </c>
      <c r="G21" s="3">
        <v>18</v>
      </c>
      <c r="H21" s="3">
        <v>20</v>
      </c>
      <c r="I21" s="3">
        <v>2</v>
      </c>
      <c r="J21" s="20"/>
      <c r="K21" s="20"/>
      <c r="L21" s="20"/>
      <c r="M21"/>
      <c r="N21"/>
      <c r="O21"/>
      <c r="P21"/>
      <c r="Q21"/>
    </row>
    <row r="22" spans="1:19">
      <c r="A22"/>
      <c r="B22" s="3" t="s">
        <v>46</v>
      </c>
      <c r="C22" s="3" t="s">
        <v>47</v>
      </c>
      <c r="D22" s="3" t="s">
        <v>33</v>
      </c>
      <c r="E22" s="3" t="s">
        <v>16</v>
      </c>
      <c r="F22" s="3" t="s">
        <v>17</v>
      </c>
      <c r="G22" s="3">
        <v>17</v>
      </c>
      <c r="H22" s="3">
        <v>20</v>
      </c>
      <c r="I22" s="3">
        <v>2</v>
      </c>
      <c r="J22" s="20"/>
      <c r="K22" s="20"/>
      <c r="L22" s="20"/>
      <c r="M22"/>
      <c r="N22"/>
      <c r="O22"/>
      <c r="P22"/>
      <c r="Q22"/>
    </row>
    <row r="23" spans="1:19">
      <c r="A23"/>
      <c r="B23" s="3" t="s">
        <v>48</v>
      </c>
      <c r="C23" s="3" t="s">
        <v>49</v>
      </c>
      <c r="D23" s="3" t="s">
        <v>24</v>
      </c>
      <c r="E23" s="3" t="s">
        <v>20</v>
      </c>
      <c r="F23" s="3" t="s">
        <v>21</v>
      </c>
      <c r="G23" s="3">
        <v>20</v>
      </c>
      <c r="H23" s="3">
        <v>20</v>
      </c>
      <c r="I23" s="3">
        <v>0</v>
      </c>
      <c r="J23" s="20"/>
      <c r="K23" s="20"/>
      <c r="L23" s="20"/>
      <c r="M23"/>
      <c r="N23"/>
      <c r="O23"/>
      <c r="P23"/>
      <c r="Q23"/>
    </row>
    <row r="24" spans="1:19">
      <c r="A24"/>
      <c r="B24" s="3" t="s">
        <v>50</v>
      </c>
      <c r="C24" s="3" t="s">
        <v>51</v>
      </c>
      <c r="D24" s="3" t="s">
        <v>15</v>
      </c>
      <c r="E24" s="3" t="s">
        <v>16</v>
      </c>
      <c r="F24" s="3" t="s">
        <v>25</v>
      </c>
      <c r="G24" s="3">
        <v>16</v>
      </c>
      <c r="H24" s="3">
        <v>20</v>
      </c>
      <c r="I24" s="3">
        <v>3</v>
      </c>
      <c r="J24" s="20"/>
      <c r="K24" s="20"/>
      <c r="L24" s="20"/>
      <c r="M24"/>
      <c r="N24"/>
      <c r="O24"/>
      <c r="P24"/>
      <c r="Q24"/>
    </row>
    <row r="25" spans="1:19">
      <c r="A25"/>
      <c r="B25"/>
      <c r="C25"/>
      <c r="D25"/>
      <c r="E25"/>
      <c r="F25"/>
      <c r="G25" s="20"/>
      <c r="H25" s="20"/>
      <c r="I25" s="20"/>
      <c r="J25" s="20"/>
      <c r="K25" s="20"/>
      <c r="L25" s="20"/>
      <c r="M25" s="20"/>
      <c r="N25" s="20"/>
      <c r="O25"/>
      <c r="P25"/>
      <c r="Q25"/>
      <c r="R25"/>
      <c r="S25"/>
    </row>
    <row r="26" ht="30" spans="1:19">
      <c r="A26" s="26" t="s">
        <v>52</v>
      </c>
      <c r="B26" s="26"/>
      <c r="C26" s="26"/>
      <c r="D26" s="26"/>
      <c r="E26" s="26"/>
      <c r="F26" s="26"/>
      <c r="G26" s="26"/>
      <c r="H26" s="26"/>
      <c r="I26" s="26"/>
      <c r="J26"/>
      <c r="K26"/>
      <c r="L26"/>
      <c r="M26"/>
      <c r="N26"/>
      <c r="O26"/>
      <c r="P26"/>
      <c r="Q26"/>
      <c r="R26"/>
      <c r="S26"/>
    </row>
    <row r="27" ht="16.5" customHeight="1" spans="1:19">
      <c r="A27" s="27"/>
      <c r="B27" s="27"/>
      <c r="C27" s="27"/>
      <c r="D27" s="27"/>
      <c r="E27" s="27"/>
      <c r="F27" s="27"/>
      <c r="G27" s="27"/>
      <c r="H27" s="27"/>
      <c r="I27"/>
      <c r="J27"/>
      <c r="K27"/>
      <c r="L27"/>
      <c r="M27"/>
      <c r="N27"/>
      <c r="O27"/>
      <c r="P27"/>
      <c r="Q27"/>
      <c r="R27"/>
      <c r="S27"/>
    </row>
    <row r="28" ht="17.25" customHeight="1" spans="1:19">
      <c r="A28" s="28" t="s">
        <v>53</v>
      </c>
      <c r="B28" s="28"/>
      <c r="C28" s="28"/>
      <c r="D28" s="28"/>
      <c r="E28" s="28" t="s">
        <v>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ht="15" spans="1:19">
      <c r="A29" s="29" t="s">
        <v>55</v>
      </c>
      <c r="B29" s="30"/>
      <c r="C29" s="30"/>
      <c r="D29" s="31"/>
      <c r="E29" s="32">
        <f>SUM(G10:G24)</f>
        <v>260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ht="15" spans="1:19">
      <c r="A30" s="29" t="s">
        <v>56</v>
      </c>
      <c r="B30" s="30"/>
      <c r="C30" s="30"/>
      <c r="D30" s="31"/>
      <c r="E30" s="32">
        <f>SUM(H10:H24)</f>
        <v>300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ht="15" spans="1:19">
      <c r="A31" s="29" t="s">
        <v>57</v>
      </c>
      <c r="B31" s="30"/>
      <c r="C31" s="30"/>
      <c r="D31" s="31"/>
      <c r="E31" s="32">
        <f>MAX(G10:G24)</f>
        <v>20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ht="15" spans="1:19">
      <c r="A32" s="29" t="s">
        <v>58</v>
      </c>
      <c r="B32" s="30"/>
      <c r="C32" s="30"/>
      <c r="D32" s="31"/>
      <c r="E32" s="32">
        <f>MIN(G10:G24)</f>
        <v>13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ht="15" spans="1:19">
      <c r="A33" s="29" t="s">
        <v>59</v>
      </c>
      <c r="B33" s="30"/>
      <c r="C33" s="30"/>
      <c r="D33" s="31"/>
      <c r="E33" s="32">
        <f t="array" ref="E33">AVERAGE(G10:G24)</f>
        <v>17.3333333333333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>
      <c r="A34" s="29" t="s">
        <v>60</v>
      </c>
      <c r="B34" s="30"/>
      <c r="C34" s="30"/>
      <c r="D34" s="31"/>
      <c r="E34" s="32">
        <f>COUNTA(B10:B24)</f>
        <v>15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>
      <c r="A35" s="29" t="s">
        <v>61</v>
      </c>
      <c r="B35" s="30"/>
      <c r="C35" s="30"/>
      <c r="D35" s="31"/>
      <c r="E35" s="32">
        <f t="array" ref="E35">COUNTA(C10:C24)</f>
        <v>15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ht="15" spans="1:19">
      <c r="A36" s="29" t="s">
        <v>62</v>
      </c>
      <c r="B36" s="30"/>
      <c r="C36" s="30"/>
      <c r="D36" s="31"/>
      <c r="E36" s="32">
        <f>MAX(I10:I24)</f>
        <v>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ht="15" spans="1:19">
      <c r="A37" s="29" t="s">
        <v>63</v>
      </c>
      <c r="B37" s="30"/>
      <c r="C37" s="30"/>
      <c r="D37" s="31"/>
      <c r="E37" s="33">
        <f t="array" ref="E37">MIN(I10:I24)</f>
        <v>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ht="15" spans="1:19">
      <c r="A38" s="29" t="s">
        <v>64</v>
      </c>
      <c r="B38" s="30"/>
      <c r="C38" s="30"/>
      <c r="D38" s="31"/>
      <c r="E38" s="34">
        <f>AVERAGE(I10:I24)</f>
        <v>1.8</v>
      </c>
    </row>
    <row r="41" ht="30" spans="1:19">
      <c r="A41" s="26" t="s">
        <v>65</v>
      </c>
      <c r="B41" s="26"/>
      <c r="C41" s="26"/>
      <c r="D41" s="26"/>
      <c r="E41" s="26"/>
      <c r="F41" s="26"/>
      <c r="G41" s="26"/>
      <c r="H41" s="26"/>
      <c r="I41" s="26"/>
    </row>
    <row r="43" ht="18" spans="1:19">
      <c r="A43" s="28" t="s">
        <v>53</v>
      </c>
      <c r="B43" s="28"/>
      <c r="C43" s="28"/>
      <c r="D43" s="28"/>
      <c r="E43" s="28" t="s">
        <v>54</v>
      </c>
    </row>
    <row r="44" ht="15" spans="1:19">
      <c r="A44" s="29" t="s">
        <v>66</v>
      </c>
      <c r="B44" s="30"/>
      <c r="C44" s="30"/>
      <c r="D44" s="31"/>
      <c r="E44" s="6">
        <f>LARGE(G10:G24,2)</f>
        <v>20</v>
      </c>
    </row>
    <row r="45" ht="15" spans="1:19">
      <c r="A45" s="29" t="s">
        <v>67</v>
      </c>
      <c r="B45" s="30"/>
      <c r="C45" s="30"/>
      <c r="D45" s="31"/>
      <c r="E45" s="6">
        <f>LARGE(G10:G24,3)</f>
        <v>20</v>
      </c>
    </row>
    <row r="46" ht="15" spans="1:19">
      <c r="A46" s="29" t="s">
        <v>68</v>
      </c>
      <c r="B46" s="30"/>
      <c r="C46" s="30"/>
      <c r="D46" s="31"/>
      <c r="E46" s="6">
        <f>SMALL(G10:G24,2)</f>
        <v>14</v>
      </c>
    </row>
    <row r="47" ht="15" spans="1:19">
      <c r="A47" s="29" t="s">
        <v>69</v>
      </c>
      <c r="B47" s="30"/>
      <c r="C47" s="30"/>
      <c r="D47" s="31"/>
      <c r="E47" s="6">
        <f>SMALL(G10:G24,4)</f>
        <v>16</v>
      </c>
    </row>
    <row r="48" ht="15" spans="1:19">
      <c r="A48" s="29" t="s">
        <v>70</v>
      </c>
      <c r="B48" s="30"/>
      <c r="C48" s="30"/>
      <c r="D48" s="31"/>
      <c r="E48" s="6">
        <f>MAX(I10:I24)</f>
        <v>5</v>
      </c>
    </row>
    <row r="49" ht="15" spans="1:9">
      <c r="A49" s="29" t="s">
        <v>71</v>
      </c>
      <c r="B49" s="30"/>
      <c r="C49" s="30"/>
      <c r="D49" s="31"/>
      <c r="E49" s="6">
        <f>LARGE(I10:I24,2)</f>
        <v>4</v>
      </c>
    </row>
    <row r="50" spans="1:9">
      <c r="A50"/>
      <c r="B50"/>
      <c r="C50"/>
      <c r="D50"/>
      <c r="E50"/>
    </row>
    <row r="51" ht="30" spans="1:9">
      <c r="A51" s="26" t="s">
        <v>72</v>
      </c>
      <c r="B51" s="26"/>
      <c r="C51" s="26"/>
      <c r="D51" s="26"/>
      <c r="E51" s="26"/>
      <c r="F51" s="26"/>
      <c r="G51" s="26"/>
      <c r="H51" s="26"/>
      <c r="I51" s="26"/>
    </row>
    <row r="53" spans="1:9">
      <c r="A53" t="s">
        <v>73</v>
      </c>
    </row>
    <row r="54" ht="15" spans="1:9">
      <c r="A54" s="9" t="s">
        <v>74</v>
      </c>
    </row>
    <row r="55" ht="15" spans="1:9">
      <c r="A55" s="9" t="s">
        <v>75</v>
      </c>
    </row>
    <row r="56" ht="15" spans="1:9">
      <c r="A56" s="9" t="s">
        <v>76</v>
      </c>
    </row>
    <row r="57" spans="1:9">
      <c r="A57"/>
    </row>
    <row r="58" ht="15" spans="1:9">
      <c r="A58" s="24" t="s">
        <v>77</v>
      </c>
      <c r="B58" s="24"/>
      <c r="C58" s="24"/>
      <c r="D58" s="10" t="s">
        <v>54</v>
      </c>
    </row>
    <row r="59" spans="1:9">
      <c r="A59" s="35" t="s">
        <v>78</v>
      </c>
      <c r="B59" s="35"/>
      <c r="C59" s="35"/>
      <c r="D59" s="6">
        <f>SUM(Present_Days)</f>
        <v>260</v>
      </c>
    </row>
    <row r="60" spans="1:9">
      <c r="A60" s="35" t="s">
        <v>79</v>
      </c>
      <c r="B60" s="35"/>
      <c r="C60" s="35"/>
      <c r="D60" s="6">
        <f>AVERAGE(Present_Days)</f>
        <v>17.3333333333333</v>
      </c>
    </row>
    <row r="61" spans="1:9">
      <c r="A61" s="35" t="s">
        <v>80</v>
      </c>
      <c r="B61" s="35"/>
      <c r="C61" s="35"/>
      <c r="D61" s="6">
        <f>MAX(Present_Days)</f>
        <v>20</v>
      </c>
    </row>
    <row r="62" spans="1:9">
      <c r="A62" s="35" t="s">
        <v>81</v>
      </c>
      <c r="B62" s="35"/>
      <c r="C62" s="35"/>
      <c r="D62" s="6">
        <f>MIN(Present_Days)</f>
        <v>13</v>
      </c>
    </row>
    <row r="63" spans="1:9">
      <c r="A63" s="35" t="s">
        <v>82</v>
      </c>
      <c r="B63" s="35"/>
      <c r="C63" s="35"/>
      <c r="D63" s="6">
        <f>LARGE(Present_Days,3)</f>
        <v>20</v>
      </c>
    </row>
    <row r="66" ht="30" spans="1:9">
      <c r="A66" s="26" t="s">
        <v>83</v>
      </c>
      <c r="B66" s="26"/>
      <c r="C66" s="26"/>
      <c r="D66" s="26"/>
      <c r="E66" s="26"/>
      <c r="F66" s="26"/>
      <c r="G66" s="26"/>
      <c r="H66" s="26"/>
      <c r="I66" s="26"/>
    </row>
    <row r="68" ht="15" spans="1:9">
      <c r="A68" s="2" t="s">
        <v>84</v>
      </c>
      <c r="B68" s="10" t="s">
        <v>85</v>
      </c>
    </row>
    <row r="69" spans="1:9">
      <c r="A69" s="36" t="s">
        <v>86</v>
      </c>
      <c r="B69" s="16">
        <f>COUNTA(C10:C24)</f>
        <v>15</v>
      </c>
    </row>
    <row r="70" spans="1:9">
      <c r="A70" s="36" t="s">
        <v>87</v>
      </c>
      <c r="B70" s="16">
        <f>SUM(Present_Days)</f>
        <v>260</v>
      </c>
    </row>
    <row r="71" spans="1:9">
      <c r="A71" s="36" t="s">
        <v>88</v>
      </c>
      <c r="B71" s="16">
        <f>SUM(Total_Days)</f>
        <v>300</v>
      </c>
    </row>
    <row r="72" spans="1:9">
      <c r="A72" s="36" t="s">
        <v>89</v>
      </c>
      <c r="B72" s="16">
        <f>AVERAGE(Present_Days)</f>
        <v>17.3333333333333</v>
      </c>
    </row>
    <row r="73" spans="1:9">
      <c r="A73" s="36" t="s">
        <v>90</v>
      </c>
      <c r="B73" s="32">
        <f>MAX(Present_Days)</f>
        <v>20</v>
      </c>
    </row>
    <row r="74" spans="1:9">
      <c r="A74" s="36" t="s">
        <v>91</v>
      </c>
      <c r="B74" s="16">
        <f>MIN(Present_Days)</f>
        <v>13</v>
      </c>
    </row>
    <row r="75" spans="1:9">
      <c r="A75" s="36" t="s">
        <v>92</v>
      </c>
      <c r="B75" s="16">
        <f>MAX(Late_Days)</f>
        <v>5</v>
      </c>
    </row>
    <row r="76" spans="1:9">
      <c r="A76" s="36" t="s">
        <v>93</v>
      </c>
      <c r="B76" s="16">
        <f>MIN(Late_Days)</f>
        <v>0</v>
      </c>
    </row>
    <row r="77" spans="1:9">
      <c r="A77" s="36" t="s">
        <v>94</v>
      </c>
      <c r="B77" s="16">
        <f>AVERAGE(Late_Days)</f>
        <v>1.8</v>
      </c>
    </row>
    <row r="78" spans="1:9">
      <c r="A78" s="36" t="s">
        <v>95</v>
      </c>
      <c r="B78" s="16">
        <f>LARGE(Present_Days,2)</f>
        <v>20</v>
      </c>
    </row>
    <row r="79" spans="1:9">
      <c r="A79" s="36" t="s">
        <v>96</v>
      </c>
      <c r="B79" s="32">
        <f>LARGE(Present_Days,3)</f>
        <v>20</v>
      </c>
    </row>
    <row r="80" spans="1:9">
      <c r="A80" s="36" t="s">
        <v>97</v>
      </c>
      <c r="B80" s="16">
        <f>SMALL(Present_Days,2)</f>
        <v>14</v>
      </c>
    </row>
    <row r="81" spans="1:2">
      <c r="A81" s="36" t="s">
        <v>98</v>
      </c>
      <c r="B81" s="32">
        <f>COUNTA(C10:C24)</f>
        <v>15</v>
      </c>
    </row>
  </sheetData>
  <mergeCells count="30">
    <mergeCell ref="A4:C4"/>
    <mergeCell ref="A26:I26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41:I41"/>
    <mergeCell ref="A43:D43"/>
    <mergeCell ref="A44:D44"/>
    <mergeCell ref="A45:D45"/>
    <mergeCell ref="A46:D46"/>
    <mergeCell ref="A47:D47"/>
    <mergeCell ref="A48:D48"/>
    <mergeCell ref="A49:D49"/>
    <mergeCell ref="A51:I51"/>
    <mergeCell ref="A58:C58"/>
    <mergeCell ref="A59:C59"/>
    <mergeCell ref="A60:C60"/>
    <mergeCell ref="A61:C61"/>
    <mergeCell ref="A62:C62"/>
    <mergeCell ref="A63:C63"/>
    <mergeCell ref="A66:I66"/>
    <mergeCell ref="A1:I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"/>
  <sheetViews>
    <sheetView topLeftCell="A70" workbookViewId="0">
      <selection activeCell="J35" sqref="J35"/>
    </sheetView>
  </sheetViews>
  <sheetFormatPr defaultColWidth="9" defaultRowHeight="14.25"/>
  <cols>
    <col min="1" max="1" width="19.1416666666667" customWidth="1"/>
    <col min="2" max="2" width="20.8583333333333" customWidth="1"/>
    <col min="3" max="3" width="26.425" customWidth="1"/>
    <col min="4" max="4" width="19.8583333333333" customWidth="1"/>
    <col min="5" max="5" width="22.8583333333333" customWidth="1"/>
    <col min="6" max="6" width="28.1416666666667" customWidth="1"/>
    <col min="7" max="7" width="18.1416666666667" customWidth="1"/>
    <col min="8" max="8" width="16.425" customWidth="1"/>
    <col min="9" max="9" width="19.1416666666667" customWidth="1"/>
    <col min="10" max="10" width="14.5666666666667" customWidth="1"/>
    <col min="11" max="11" width="23.2833333333333" customWidth="1"/>
    <col min="12" max="12" width="12.425" customWidth="1"/>
  </cols>
  <sheetData>
    <row r="1" spans="1:9">
      <c r="A1" s="1" t="s">
        <v>99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t="s">
        <v>100</v>
      </c>
    </row>
    <row r="5" ht="15" spans="1:9"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s">
        <v>107</v>
      </c>
      <c r="I5" s="2" t="s">
        <v>108</v>
      </c>
    </row>
    <row r="6" spans="1:9">
      <c r="B6" s="3" t="s">
        <v>109</v>
      </c>
      <c r="C6" s="4">
        <v>46204</v>
      </c>
      <c r="D6" s="3" t="s">
        <v>110</v>
      </c>
      <c r="E6" s="3" t="s">
        <v>111</v>
      </c>
      <c r="F6" s="3" t="s">
        <v>112</v>
      </c>
      <c r="G6" s="3">
        <v>2</v>
      </c>
      <c r="H6" s="3">
        <v>299</v>
      </c>
      <c r="I6" s="3" t="s">
        <v>113</v>
      </c>
    </row>
    <row r="7" spans="1:9">
      <c r="B7" s="3" t="s">
        <v>114</v>
      </c>
      <c r="C7" s="4">
        <v>46204</v>
      </c>
      <c r="D7" s="3" t="s">
        <v>115</v>
      </c>
      <c r="E7" s="3" t="s">
        <v>116</v>
      </c>
      <c r="F7" s="3" t="s">
        <v>117</v>
      </c>
      <c r="G7" s="3">
        <v>3</v>
      </c>
      <c r="H7" s="3">
        <v>149</v>
      </c>
      <c r="I7" s="3" t="s">
        <v>118</v>
      </c>
    </row>
    <row r="8" spans="1:9">
      <c r="B8" s="3" t="s">
        <v>119</v>
      </c>
      <c r="C8" s="4">
        <v>46204</v>
      </c>
      <c r="D8" s="3" t="s">
        <v>120</v>
      </c>
      <c r="E8" s="3" t="s">
        <v>121</v>
      </c>
      <c r="F8" s="3" t="s">
        <v>122</v>
      </c>
      <c r="G8" s="3">
        <v>2</v>
      </c>
      <c r="H8" s="3">
        <v>180</v>
      </c>
      <c r="I8" s="3" t="s">
        <v>123</v>
      </c>
    </row>
    <row r="9" spans="1:9">
      <c r="B9" s="3" t="s">
        <v>124</v>
      </c>
      <c r="C9" s="4">
        <v>46205</v>
      </c>
      <c r="D9" s="3" t="s">
        <v>125</v>
      </c>
      <c r="E9" s="3" t="s">
        <v>126</v>
      </c>
      <c r="F9" s="3" t="s">
        <v>127</v>
      </c>
      <c r="G9" s="3">
        <v>4</v>
      </c>
      <c r="H9" s="3">
        <v>120</v>
      </c>
      <c r="I9" s="3" t="s">
        <v>113</v>
      </c>
    </row>
    <row r="10" spans="1:9">
      <c r="B10" s="3" t="s">
        <v>128</v>
      </c>
      <c r="C10" s="4">
        <v>46205</v>
      </c>
      <c r="D10" s="3" t="s">
        <v>129</v>
      </c>
      <c r="E10" s="3" t="s">
        <v>111</v>
      </c>
      <c r="F10" s="3" t="s">
        <v>130</v>
      </c>
      <c r="G10" s="3">
        <v>1</v>
      </c>
      <c r="H10" s="3">
        <v>399</v>
      </c>
      <c r="I10" s="3" t="s">
        <v>118</v>
      </c>
    </row>
    <row r="11" spans="1:9">
      <c r="B11" s="3" t="s">
        <v>131</v>
      </c>
      <c r="C11" s="4">
        <v>46205</v>
      </c>
      <c r="D11" s="3" t="s">
        <v>132</v>
      </c>
      <c r="E11" s="3" t="s">
        <v>116</v>
      </c>
      <c r="F11" s="3" t="s">
        <v>133</v>
      </c>
      <c r="G11" s="3">
        <v>2</v>
      </c>
      <c r="H11" s="3">
        <v>199</v>
      </c>
      <c r="I11" s="3" t="s">
        <v>123</v>
      </c>
    </row>
    <row r="12" spans="1:9">
      <c r="B12" s="3" t="s">
        <v>134</v>
      </c>
      <c r="C12" s="4">
        <v>46206</v>
      </c>
      <c r="D12" s="3" t="s">
        <v>135</v>
      </c>
      <c r="E12" s="3" t="s">
        <v>121</v>
      </c>
      <c r="F12" s="3" t="s">
        <v>136</v>
      </c>
      <c r="G12" s="3">
        <v>3</v>
      </c>
      <c r="H12" s="3">
        <v>160</v>
      </c>
      <c r="I12" s="3" t="s">
        <v>113</v>
      </c>
    </row>
    <row r="13" spans="1:9">
      <c r="B13" s="3" t="s">
        <v>137</v>
      </c>
      <c r="C13" s="4">
        <v>46206</v>
      </c>
      <c r="D13" s="3" t="s">
        <v>138</v>
      </c>
      <c r="E13" s="3" t="s">
        <v>111</v>
      </c>
      <c r="F13" s="3" t="s">
        <v>139</v>
      </c>
      <c r="G13" s="3">
        <v>2</v>
      </c>
      <c r="H13" s="3">
        <v>499</v>
      </c>
      <c r="I13" s="3" t="s">
        <v>118</v>
      </c>
    </row>
    <row r="14" spans="1:9">
      <c r="B14" s="3" t="s">
        <v>140</v>
      </c>
      <c r="C14" s="4">
        <v>46206</v>
      </c>
      <c r="D14" s="3" t="s">
        <v>141</v>
      </c>
      <c r="E14" s="3" t="s">
        <v>142</v>
      </c>
      <c r="F14" s="3" t="s">
        <v>143</v>
      </c>
      <c r="G14" s="3">
        <v>2</v>
      </c>
      <c r="H14" s="3">
        <v>220</v>
      </c>
      <c r="I14" s="3" t="s">
        <v>123</v>
      </c>
    </row>
    <row r="15" spans="1:9">
      <c r="B15" s="3" t="s">
        <v>144</v>
      </c>
      <c r="C15" s="4">
        <v>46207</v>
      </c>
      <c r="D15" s="3" t="s">
        <v>145</v>
      </c>
      <c r="E15" s="3" t="s">
        <v>146</v>
      </c>
      <c r="F15" s="3" t="s">
        <v>147</v>
      </c>
      <c r="G15" s="3">
        <v>1</v>
      </c>
      <c r="H15" s="3">
        <v>299</v>
      </c>
      <c r="I15" s="3" t="s">
        <v>113</v>
      </c>
    </row>
    <row r="16" spans="1:9">
      <c r="B16" s="3" t="s">
        <v>148</v>
      </c>
      <c r="C16" s="4">
        <v>46207</v>
      </c>
      <c r="D16" s="3" t="s">
        <v>149</v>
      </c>
      <c r="E16" s="3" t="s">
        <v>116</v>
      </c>
      <c r="F16" s="3" t="s">
        <v>150</v>
      </c>
      <c r="G16" s="3">
        <v>2</v>
      </c>
      <c r="H16" s="3">
        <v>249</v>
      </c>
      <c r="I16" s="3" t="s">
        <v>118</v>
      </c>
    </row>
    <row r="17" spans="1:11">
      <c r="B17" s="3" t="s">
        <v>151</v>
      </c>
      <c r="C17" s="4">
        <v>46207</v>
      </c>
      <c r="D17" s="3" t="s">
        <v>152</v>
      </c>
      <c r="E17" s="3" t="s">
        <v>153</v>
      </c>
      <c r="F17" s="3" t="s">
        <v>154</v>
      </c>
      <c r="G17" s="3">
        <v>4</v>
      </c>
      <c r="H17" s="3">
        <v>80</v>
      </c>
      <c r="I17" s="3" t="s">
        <v>123</v>
      </c>
    </row>
    <row r="18" spans="1:11">
      <c r="B18" s="3" t="s">
        <v>155</v>
      </c>
      <c r="C18" s="4">
        <v>46208</v>
      </c>
      <c r="D18" s="3" t="s">
        <v>156</v>
      </c>
      <c r="E18" s="3" t="s">
        <v>111</v>
      </c>
      <c r="F18" s="3" t="s">
        <v>157</v>
      </c>
      <c r="G18" s="3">
        <v>1</v>
      </c>
      <c r="H18" s="3">
        <v>449</v>
      </c>
      <c r="I18" s="3" t="s">
        <v>113</v>
      </c>
    </row>
    <row r="19" spans="1:11">
      <c r="B19" s="3" t="s">
        <v>158</v>
      </c>
      <c r="C19" s="4">
        <v>46208</v>
      </c>
      <c r="D19" s="3" t="s">
        <v>159</v>
      </c>
      <c r="E19" s="3" t="s">
        <v>126</v>
      </c>
      <c r="F19" s="3" t="s">
        <v>160</v>
      </c>
      <c r="G19" s="3">
        <v>3</v>
      </c>
      <c r="H19" s="3">
        <v>150</v>
      </c>
      <c r="I19" s="3" t="s">
        <v>118</v>
      </c>
    </row>
    <row r="20" spans="1:11">
      <c r="B20" s="3" t="s">
        <v>161</v>
      </c>
      <c r="C20" s="4">
        <v>46208</v>
      </c>
      <c r="D20" s="3" t="s">
        <v>162</v>
      </c>
      <c r="E20" s="3" t="s">
        <v>121</v>
      </c>
      <c r="F20" s="3" t="s">
        <v>163</v>
      </c>
      <c r="G20" s="3">
        <v>2</v>
      </c>
      <c r="H20" s="3">
        <v>190</v>
      </c>
      <c r="I20" s="3" t="s">
        <v>123</v>
      </c>
    </row>
    <row r="22" spans="1:11">
      <c r="A22" t="s">
        <v>164</v>
      </c>
    </row>
    <row r="24" ht="15" spans="1:11">
      <c r="B24" s="2" t="s">
        <v>101</v>
      </c>
      <c r="C24" s="2" t="s">
        <v>102</v>
      </c>
      <c r="D24" s="2" t="s">
        <v>103</v>
      </c>
      <c r="E24" s="2" t="s">
        <v>104</v>
      </c>
      <c r="F24" s="2" t="s">
        <v>105</v>
      </c>
      <c r="G24" s="2" t="s">
        <v>106</v>
      </c>
      <c r="H24" s="2" t="s">
        <v>107</v>
      </c>
      <c r="I24" s="2" t="s">
        <v>108</v>
      </c>
      <c r="J24" s="2" t="s">
        <v>165</v>
      </c>
      <c r="K24" s="5"/>
    </row>
    <row r="25" spans="1:11">
      <c r="B25" s="3" t="s">
        <v>109</v>
      </c>
      <c r="C25" s="4">
        <v>46204</v>
      </c>
      <c r="D25" s="3" t="s">
        <v>110</v>
      </c>
      <c r="E25" s="3" t="s">
        <v>111</v>
      </c>
      <c r="F25" s="3" t="s">
        <v>112</v>
      </c>
      <c r="G25" s="3">
        <v>2</v>
      </c>
      <c r="H25" s="3">
        <v>299</v>
      </c>
      <c r="I25" s="3" t="s">
        <v>113</v>
      </c>
      <c r="J25" s="6">
        <f>G25*H25</f>
        <v>598</v>
      </c>
      <c r="K25" s="7"/>
    </row>
    <row r="26" spans="1:11">
      <c r="B26" s="3" t="s">
        <v>114</v>
      </c>
      <c r="C26" s="4">
        <v>46204</v>
      </c>
      <c r="D26" s="3" t="s">
        <v>115</v>
      </c>
      <c r="E26" s="3" t="s">
        <v>116</v>
      </c>
      <c r="F26" s="3" t="s">
        <v>117</v>
      </c>
      <c r="G26" s="3">
        <v>3</v>
      </c>
      <c r="H26" s="3">
        <v>149</v>
      </c>
      <c r="I26" s="3" t="s">
        <v>118</v>
      </c>
      <c r="J26" s="6">
        <f t="shared" ref="J26:J39" si="0">G26*H26</f>
        <v>447</v>
      </c>
      <c r="K26" s="7"/>
    </row>
    <row r="27" spans="1:11">
      <c r="B27" s="3" t="s">
        <v>119</v>
      </c>
      <c r="C27" s="4">
        <v>46204</v>
      </c>
      <c r="D27" s="3" t="s">
        <v>120</v>
      </c>
      <c r="E27" s="3" t="s">
        <v>121</v>
      </c>
      <c r="F27" s="3" t="s">
        <v>122</v>
      </c>
      <c r="G27" s="3">
        <v>2</v>
      </c>
      <c r="H27" s="3">
        <v>180</v>
      </c>
      <c r="I27" s="3" t="s">
        <v>123</v>
      </c>
      <c r="J27" s="6">
        <f t="shared" si="0"/>
        <v>360</v>
      </c>
      <c r="K27" s="7"/>
    </row>
    <row r="28" spans="1:11">
      <c r="B28" s="3" t="s">
        <v>124</v>
      </c>
      <c r="C28" s="4">
        <v>46205</v>
      </c>
      <c r="D28" s="3" t="s">
        <v>125</v>
      </c>
      <c r="E28" s="3" t="s">
        <v>126</v>
      </c>
      <c r="F28" s="3" t="s">
        <v>127</v>
      </c>
      <c r="G28" s="3">
        <v>4</v>
      </c>
      <c r="H28" s="3">
        <v>120</v>
      </c>
      <c r="I28" s="3" t="s">
        <v>113</v>
      </c>
      <c r="J28" s="6">
        <f t="shared" si="0"/>
        <v>480</v>
      </c>
      <c r="K28" s="7"/>
    </row>
    <row r="29" spans="1:11">
      <c r="B29" s="3" t="s">
        <v>128</v>
      </c>
      <c r="C29" s="4">
        <v>46205</v>
      </c>
      <c r="D29" s="3" t="s">
        <v>129</v>
      </c>
      <c r="E29" s="3" t="s">
        <v>111</v>
      </c>
      <c r="F29" s="3" t="s">
        <v>130</v>
      </c>
      <c r="G29" s="3">
        <v>1</v>
      </c>
      <c r="H29" s="3">
        <v>399</v>
      </c>
      <c r="I29" s="3" t="s">
        <v>118</v>
      </c>
      <c r="J29" s="6">
        <f t="shared" si="0"/>
        <v>399</v>
      </c>
      <c r="K29" s="7"/>
    </row>
    <row r="30" spans="1:11">
      <c r="B30" s="3" t="s">
        <v>131</v>
      </c>
      <c r="C30" s="4">
        <v>46205</v>
      </c>
      <c r="D30" s="3" t="s">
        <v>132</v>
      </c>
      <c r="E30" s="3" t="s">
        <v>116</v>
      </c>
      <c r="F30" s="3" t="s">
        <v>133</v>
      </c>
      <c r="G30" s="3">
        <v>2</v>
      </c>
      <c r="H30" s="3">
        <v>199</v>
      </c>
      <c r="I30" s="3" t="s">
        <v>123</v>
      </c>
      <c r="J30" s="6">
        <f t="shared" si="0"/>
        <v>398</v>
      </c>
      <c r="K30" s="7"/>
    </row>
    <row r="31" spans="1:11">
      <c r="B31" s="3" t="s">
        <v>134</v>
      </c>
      <c r="C31" s="4">
        <v>46206</v>
      </c>
      <c r="D31" s="3" t="s">
        <v>135</v>
      </c>
      <c r="E31" s="3" t="s">
        <v>121</v>
      </c>
      <c r="F31" s="3" t="s">
        <v>136</v>
      </c>
      <c r="G31" s="3">
        <v>3</v>
      </c>
      <c r="H31" s="3">
        <v>160</v>
      </c>
      <c r="I31" s="3" t="s">
        <v>113</v>
      </c>
      <c r="J31" s="6">
        <f t="shared" si="0"/>
        <v>480</v>
      </c>
      <c r="K31" s="7"/>
    </row>
    <row r="32" spans="1:11">
      <c r="B32" s="3" t="s">
        <v>137</v>
      </c>
      <c r="C32" s="4">
        <v>46206</v>
      </c>
      <c r="D32" s="3" t="s">
        <v>138</v>
      </c>
      <c r="E32" s="3" t="s">
        <v>111</v>
      </c>
      <c r="F32" s="3" t="s">
        <v>139</v>
      </c>
      <c r="G32" s="3">
        <v>2</v>
      </c>
      <c r="H32" s="3">
        <v>499</v>
      </c>
      <c r="I32" s="3" t="s">
        <v>118</v>
      </c>
      <c r="J32" s="6">
        <f t="shared" si="0"/>
        <v>998</v>
      </c>
      <c r="K32" s="7"/>
    </row>
    <row r="33" spans="1:14">
      <c r="B33" s="3" t="s">
        <v>140</v>
      </c>
      <c r="C33" s="4">
        <v>46206</v>
      </c>
      <c r="D33" s="3" t="s">
        <v>141</v>
      </c>
      <c r="E33" s="3" t="s">
        <v>142</v>
      </c>
      <c r="F33" s="3" t="s">
        <v>143</v>
      </c>
      <c r="G33" s="3">
        <v>2</v>
      </c>
      <c r="H33" s="3">
        <v>220</v>
      </c>
      <c r="I33" s="3" t="s">
        <v>123</v>
      </c>
      <c r="J33" s="6">
        <f t="shared" si="0"/>
        <v>440</v>
      </c>
      <c r="K33" s="7"/>
    </row>
    <row r="34" spans="1:14">
      <c r="B34" s="3" t="s">
        <v>144</v>
      </c>
      <c r="C34" s="4">
        <v>46207</v>
      </c>
      <c r="D34" s="3" t="s">
        <v>145</v>
      </c>
      <c r="E34" s="3" t="s">
        <v>146</v>
      </c>
      <c r="F34" s="3" t="s">
        <v>147</v>
      </c>
      <c r="G34" s="3">
        <v>1</v>
      </c>
      <c r="H34" s="3">
        <v>299</v>
      </c>
      <c r="I34" s="3" t="s">
        <v>113</v>
      </c>
      <c r="J34" s="6">
        <f t="shared" si="0"/>
        <v>299</v>
      </c>
      <c r="K34" s="7"/>
    </row>
    <row r="35" spans="1:14">
      <c r="B35" s="3" t="s">
        <v>148</v>
      </c>
      <c r="C35" s="4">
        <v>46207</v>
      </c>
      <c r="D35" s="3" t="s">
        <v>149</v>
      </c>
      <c r="E35" s="3" t="s">
        <v>116</v>
      </c>
      <c r="F35" s="3" t="s">
        <v>150</v>
      </c>
      <c r="G35" s="3">
        <v>2</v>
      </c>
      <c r="H35" s="3">
        <v>249</v>
      </c>
      <c r="I35" s="3" t="s">
        <v>118</v>
      </c>
      <c r="J35" s="6">
        <f t="shared" si="0"/>
        <v>498</v>
      </c>
      <c r="K35" s="7"/>
    </row>
    <row r="36" spans="1:14">
      <c r="B36" s="3" t="s">
        <v>151</v>
      </c>
      <c r="C36" s="4">
        <v>46207</v>
      </c>
      <c r="D36" s="3" t="s">
        <v>152</v>
      </c>
      <c r="E36" s="3" t="s">
        <v>153</v>
      </c>
      <c r="F36" s="3" t="s">
        <v>154</v>
      </c>
      <c r="G36" s="3">
        <v>4</v>
      </c>
      <c r="H36" s="3">
        <v>80</v>
      </c>
      <c r="I36" s="3" t="s">
        <v>123</v>
      </c>
      <c r="J36" s="6">
        <f t="shared" si="0"/>
        <v>320</v>
      </c>
      <c r="K36" s="7"/>
    </row>
    <row r="37" spans="1:14">
      <c r="B37" s="3" t="s">
        <v>155</v>
      </c>
      <c r="C37" s="4">
        <v>46208</v>
      </c>
      <c r="D37" s="3" t="s">
        <v>156</v>
      </c>
      <c r="E37" s="3" t="s">
        <v>111</v>
      </c>
      <c r="F37" s="3" t="s">
        <v>157</v>
      </c>
      <c r="G37" s="3">
        <v>1</v>
      </c>
      <c r="H37" s="3">
        <v>449</v>
      </c>
      <c r="I37" s="3" t="s">
        <v>113</v>
      </c>
      <c r="J37" s="6">
        <f t="shared" si="0"/>
        <v>449</v>
      </c>
      <c r="K37" s="7"/>
    </row>
    <row r="38" spans="1:14">
      <c r="B38" s="3" t="s">
        <v>158</v>
      </c>
      <c r="C38" s="4">
        <v>46208</v>
      </c>
      <c r="D38" s="3" t="s">
        <v>159</v>
      </c>
      <c r="E38" s="3" t="s">
        <v>126</v>
      </c>
      <c r="F38" s="3" t="s">
        <v>160</v>
      </c>
      <c r="G38" s="3">
        <v>3</v>
      </c>
      <c r="H38" s="3">
        <v>150</v>
      </c>
      <c r="I38" s="3" t="s">
        <v>118</v>
      </c>
      <c r="J38" s="6">
        <f t="shared" si="0"/>
        <v>450</v>
      </c>
      <c r="K38" s="7"/>
    </row>
    <row r="39" spans="1:14">
      <c r="B39" s="3" t="s">
        <v>161</v>
      </c>
      <c r="C39" s="4">
        <v>46208</v>
      </c>
      <c r="D39" s="3" t="s">
        <v>162</v>
      </c>
      <c r="E39" s="3" t="s">
        <v>121</v>
      </c>
      <c r="F39" s="3" t="s">
        <v>163</v>
      </c>
      <c r="G39" s="3">
        <v>2</v>
      </c>
      <c r="H39" s="3">
        <v>190</v>
      </c>
      <c r="I39" s="3" t="s">
        <v>123</v>
      </c>
      <c r="J39" s="6">
        <f t="shared" si="0"/>
        <v>380</v>
      </c>
      <c r="K39" s="7"/>
    </row>
    <row r="41" spans="1:14">
      <c r="A41" t="s">
        <v>166</v>
      </c>
    </row>
    <row r="42" ht="15" spans="1:14">
      <c r="A42" t="s">
        <v>167</v>
      </c>
    </row>
    <row r="43" ht="15" spans="1:14">
      <c r="A43" s="8" t="s">
        <v>168</v>
      </c>
    </row>
    <row r="44" spans="1:14">
      <c r="A44" s="8" t="s">
        <v>169</v>
      </c>
    </row>
    <row r="46" ht="15" spans="1:14">
      <c r="A46" s="8"/>
      <c r="B46" s="2" t="s">
        <v>101</v>
      </c>
      <c r="C46" s="2" t="s">
        <v>102</v>
      </c>
      <c r="D46" s="2" t="s">
        <v>103</v>
      </c>
      <c r="E46" s="2" t="s">
        <v>104</v>
      </c>
      <c r="F46" s="2" t="s">
        <v>105</v>
      </c>
      <c r="G46" s="2" t="s">
        <v>106</v>
      </c>
      <c r="H46" s="2" t="s">
        <v>107</v>
      </c>
      <c r="I46" s="2" t="s">
        <v>108</v>
      </c>
      <c r="J46" s="2" t="s">
        <v>165</v>
      </c>
      <c r="K46" s="2" t="s">
        <v>170</v>
      </c>
    </row>
    <row r="47" ht="15" spans="1:14">
      <c r="A47" s="9"/>
      <c r="B47" s="3" t="s">
        <v>109</v>
      </c>
      <c r="C47" s="4">
        <v>46204</v>
      </c>
      <c r="D47" s="3" t="s">
        <v>110</v>
      </c>
      <c r="E47" s="3" t="s">
        <v>111</v>
      </c>
      <c r="F47" s="3" t="s">
        <v>112</v>
      </c>
      <c r="G47" s="3">
        <v>2</v>
      </c>
      <c r="H47" s="3">
        <v>299</v>
      </c>
      <c r="I47" s="3" t="s">
        <v>113</v>
      </c>
      <c r="J47" s="6">
        <v>598</v>
      </c>
      <c r="K47" s="6">
        <f>J47*$N$48</f>
        <v>59.8</v>
      </c>
    </row>
    <row r="48" ht="15" spans="1:14">
      <c r="B48" s="3" t="s">
        <v>114</v>
      </c>
      <c r="C48" s="4">
        <v>46204</v>
      </c>
      <c r="D48" s="3" t="s">
        <v>115</v>
      </c>
      <c r="E48" s="3" t="s">
        <v>116</v>
      </c>
      <c r="F48" s="3" t="s">
        <v>117</v>
      </c>
      <c r="G48" s="3">
        <v>3</v>
      </c>
      <c r="H48" s="3">
        <v>149</v>
      </c>
      <c r="I48" s="3" t="s">
        <v>118</v>
      </c>
      <c r="J48" s="6">
        <v>447</v>
      </c>
      <c r="K48" s="6">
        <f t="shared" ref="K48:K61" si="1">J48*$N$48</f>
        <v>44.7</v>
      </c>
      <c r="M48" s="10" t="s">
        <v>171</v>
      </c>
      <c r="N48" s="11">
        <v>0.1</v>
      </c>
    </row>
    <row r="49" spans="1:11">
      <c r="B49" s="3" t="s">
        <v>119</v>
      </c>
      <c r="C49" s="4">
        <v>46204</v>
      </c>
      <c r="D49" s="3" t="s">
        <v>120</v>
      </c>
      <c r="E49" s="3" t="s">
        <v>121</v>
      </c>
      <c r="F49" s="3" t="s">
        <v>122</v>
      </c>
      <c r="G49" s="3">
        <v>2</v>
      </c>
      <c r="H49" s="3">
        <v>180</v>
      </c>
      <c r="I49" s="3" t="s">
        <v>123</v>
      </c>
      <c r="J49" s="6">
        <v>360</v>
      </c>
      <c r="K49" s="6">
        <f t="shared" si="1"/>
        <v>36</v>
      </c>
    </row>
    <row r="50" spans="1:11">
      <c r="B50" s="3" t="s">
        <v>124</v>
      </c>
      <c r="C50" s="4">
        <v>46205</v>
      </c>
      <c r="D50" s="3" t="s">
        <v>125</v>
      </c>
      <c r="E50" s="3" t="s">
        <v>126</v>
      </c>
      <c r="F50" s="3" t="s">
        <v>127</v>
      </c>
      <c r="G50" s="3">
        <v>4</v>
      </c>
      <c r="H50" s="3">
        <v>120</v>
      </c>
      <c r="I50" s="3" t="s">
        <v>113</v>
      </c>
      <c r="J50" s="6">
        <v>480</v>
      </c>
      <c r="K50" s="6">
        <f t="shared" si="1"/>
        <v>48</v>
      </c>
    </row>
    <row r="51" spans="1:11">
      <c r="B51" s="3" t="s">
        <v>128</v>
      </c>
      <c r="C51" s="4">
        <v>46205</v>
      </c>
      <c r="D51" s="3" t="s">
        <v>129</v>
      </c>
      <c r="E51" s="3" t="s">
        <v>111</v>
      </c>
      <c r="F51" s="3" t="s">
        <v>130</v>
      </c>
      <c r="G51" s="3">
        <v>1</v>
      </c>
      <c r="H51" s="3">
        <v>399</v>
      </c>
      <c r="I51" s="3" t="s">
        <v>118</v>
      </c>
      <c r="J51" s="6">
        <v>399</v>
      </c>
      <c r="K51" s="6">
        <f t="shared" si="1"/>
        <v>39.9</v>
      </c>
    </row>
    <row r="52" spans="1:11">
      <c r="B52" s="3" t="s">
        <v>131</v>
      </c>
      <c r="C52" s="4">
        <v>46205</v>
      </c>
      <c r="D52" s="3" t="s">
        <v>132</v>
      </c>
      <c r="E52" s="3" t="s">
        <v>116</v>
      </c>
      <c r="F52" s="3" t="s">
        <v>133</v>
      </c>
      <c r="G52" s="3">
        <v>2</v>
      </c>
      <c r="H52" s="3">
        <v>199</v>
      </c>
      <c r="I52" s="3" t="s">
        <v>123</v>
      </c>
      <c r="J52" s="6">
        <v>398</v>
      </c>
      <c r="K52" s="6">
        <f t="shared" si="1"/>
        <v>39.8</v>
      </c>
    </row>
    <row r="53" spans="1:11">
      <c r="B53" s="3" t="s">
        <v>134</v>
      </c>
      <c r="C53" s="4">
        <v>46206</v>
      </c>
      <c r="D53" s="3" t="s">
        <v>135</v>
      </c>
      <c r="E53" s="3" t="s">
        <v>121</v>
      </c>
      <c r="F53" s="3" t="s">
        <v>136</v>
      </c>
      <c r="G53" s="3">
        <v>3</v>
      </c>
      <c r="H53" s="3">
        <v>160</v>
      </c>
      <c r="I53" s="3" t="s">
        <v>113</v>
      </c>
      <c r="J53" s="6">
        <v>480</v>
      </c>
      <c r="K53" s="6">
        <f t="shared" si="1"/>
        <v>48</v>
      </c>
    </row>
    <row r="54" spans="1:11">
      <c r="B54" s="3" t="s">
        <v>137</v>
      </c>
      <c r="C54" s="4">
        <v>46206</v>
      </c>
      <c r="D54" s="3" t="s">
        <v>138</v>
      </c>
      <c r="E54" s="3" t="s">
        <v>111</v>
      </c>
      <c r="F54" s="3" t="s">
        <v>139</v>
      </c>
      <c r="G54" s="3">
        <v>2</v>
      </c>
      <c r="H54" s="3">
        <v>499</v>
      </c>
      <c r="I54" s="3" t="s">
        <v>118</v>
      </c>
      <c r="J54" s="6">
        <v>998</v>
      </c>
      <c r="K54" s="6">
        <f t="shared" si="1"/>
        <v>99.8</v>
      </c>
    </row>
    <row r="55" spans="1:11">
      <c r="B55" s="3" t="s">
        <v>140</v>
      </c>
      <c r="C55" s="4">
        <v>46206</v>
      </c>
      <c r="D55" s="3" t="s">
        <v>141</v>
      </c>
      <c r="E55" s="3" t="s">
        <v>142</v>
      </c>
      <c r="F55" s="3" t="s">
        <v>143</v>
      </c>
      <c r="G55" s="3">
        <v>2</v>
      </c>
      <c r="H55" s="3">
        <v>220</v>
      </c>
      <c r="I55" s="3" t="s">
        <v>123</v>
      </c>
      <c r="J55" s="6">
        <v>440</v>
      </c>
      <c r="K55" s="6">
        <f t="shared" si="1"/>
        <v>44</v>
      </c>
    </row>
    <row r="56" spans="1:11">
      <c r="B56" s="3" t="s">
        <v>144</v>
      </c>
      <c r="C56" s="4">
        <v>46207</v>
      </c>
      <c r="D56" s="3" t="s">
        <v>145</v>
      </c>
      <c r="E56" s="3" t="s">
        <v>146</v>
      </c>
      <c r="F56" s="3" t="s">
        <v>147</v>
      </c>
      <c r="G56" s="3">
        <v>1</v>
      </c>
      <c r="H56" s="3">
        <v>299</v>
      </c>
      <c r="I56" s="3" t="s">
        <v>113</v>
      </c>
      <c r="J56" s="6">
        <v>299</v>
      </c>
      <c r="K56" s="6">
        <f t="shared" si="1"/>
        <v>29.9</v>
      </c>
    </row>
    <row r="57" spans="1:11">
      <c r="B57" s="3" t="s">
        <v>148</v>
      </c>
      <c r="C57" s="4">
        <v>46207</v>
      </c>
      <c r="D57" s="3" t="s">
        <v>149</v>
      </c>
      <c r="E57" s="3" t="s">
        <v>116</v>
      </c>
      <c r="F57" s="3" t="s">
        <v>150</v>
      </c>
      <c r="G57" s="3">
        <v>2</v>
      </c>
      <c r="H57" s="3">
        <v>249</v>
      </c>
      <c r="I57" s="3" t="s">
        <v>118</v>
      </c>
      <c r="J57" s="6">
        <v>498</v>
      </c>
      <c r="K57" s="6">
        <f t="shared" si="1"/>
        <v>49.8</v>
      </c>
    </row>
    <row r="58" spans="1:11">
      <c r="B58" s="3" t="s">
        <v>151</v>
      </c>
      <c r="C58" s="4">
        <v>46207</v>
      </c>
      <c r="D58" s="3" t="s">
        <v>152</v>
      </c>
      <c r="E58" s="3" t="s">
        <v>153</v>
      </c>
      <c r="F58" s="3" t="s">
        <v>154</v>
      </c>
      <c r="G58" s="3">
        <v>4</v>
      </c>
      <c r="H58" s="3">
        <v>80</v>
      </c>
      <c r="I58" s="3" t="s">
        <v>123</v>
      </c>
      <c r="J58" s="6">
        <v>320</v>
      </c>
      <c r="K58" s="6">
        <f t="shared" si="1"/>
        <v>32</v>
      </c>
    </row>
    <row r="59" spans="1:11">
      <c r="B59" s="3" t="s">
        <v>155</v>
      </c>
      <c r="C59" s="4">
        <v>46208</v>
      </c>
      <c r="D59" s="3" t="s">
        <v>156</v>
      </c>
      <c r="E59" s="3" t="s">
        <v>111</v>
      </c>
      <c r="F59" s="3" t="s">
        <v>157</v>
      </c>
      <c r="G59" s="3">
        <v>1</v>
      </c>
      <c r="H59" s="3">
        <v>449</v>
      </c>
      <c r="I59" s="3" t="s">
        <v>113</v>
      </c>
      <c r="J59" s="6">
        <v>449</v>
      </c>
      <c r="K59" s="6">
        <f t="shared" si="1"/>
        <v>44.9</v>
      </c>
    </row>
    <row r="60" spans="1:11">
      <c r="B60" s="3" t="s">
        <v>158</v>
      </c>
      <c r="C60" s="4">
        <v>46208</v>
      </c>
      <c r="D60" s="3" t="s">
        <v>159</v>
      </c>
      <c r="E60" s="3" t="s">
        <v>126</v>
      </c>
      <c r="F60" s="3" t="s">
        <v>160</v>
      </c>
      <c r="G60" s="3">
        <v>3</v>
      </c>
      <c r="H60" s="3">
        <v>150</v>
      </c>
      <c r="I60" s="3" t="s">
        <v>118</v>
      </c>
      <c r="J60" s="6">
        <v>450</v>
      </c>
      <c r="K60" s="6">
        <f t="shared" si="1"/>
        <v>45</v>
      </c>
    </row>
    <row r="61" spans="1:11">
      <c r="B61" s="3" t="s">
        <v>161</v>
      </c>
      <c r="C61" s="4">
        <v>46208</v>
      </c>
      <c r="D61" s="3" t="s">
        <v>162</v>
      </c>
      <c r="E61" s="3" t="s">
        <v>121</v>
      </c>
      <c r="F61" s="3" t="s">
        <v>163</v>
      </c>
      <c r="G61" s="3">
        <v>2</v>
      </c>
      <c r="H61" s="3">
        <v>190</v>
      </c>
      <c r="I61" s="3" t="s">
        <v>123</v>
      </c>
      <c r="J61" s="6">
        <v>380</v>
      </c>
      <c r="K61" s="6">
        <f t="shared" si="1"/>
        <v>38</v>
      </c>
    </row>
    <row r="63" ht="23.25" spans="1:11">
      <c r="A63" s="12" t="s">
        <v>172</v>
      </c>
    </row>
    <row r="65" spans="1:5">
      <c r="A65" t="s">
        <v>173</v>
      </c>
    </row>
    <row r="66" ht="15" spans="1:5">
      <c r="A66" t="s">
        <v>174</v>
      </c>
    </row>
    <row r="68" ht="17.25" spans="1:5">
      <c r="A68" s="13" t="s">
        <v>175</v>
      </c>
      <c r="B68" s="2" t="s">
        <v>105</v>
      </c>
      <c r="C68" s="14" t="s">
        <v>175</v>
      </c>
    </row>
    <row r="69" spans="1:5">
      <c r="A69" s="15"/>
      <c r="B69" s="16" t="s">
        <v>112</v>
      </c>
      <c r="C69" s="17">
        <v>299</v>
      </c>
    </row>
    <row r="70" spans="1:5">
      <c r="A70" s="15"/>
      <c r="B70" s="16" t="s">
        <v>117</v>
      </c>
      <c r="C70" s="17">
        <v>149</v>
      </c>
    </row>
    <row r="71" spans="1:5">
      <c r="A71" s="15"/>
      <c r="B71" s="16" t="s">
        <v>122</v>
      </c>
      <c r="C71" s="17">
        <v>180</v>
      </c>
    </row>
    <row r="72" spans="1:5">
      <c r="A72" s="15"/>
      <c r="B72" s="16" t="s">
        <v>127</v>
      </c>
      <c r="C72" s="17">
        <v>120</v>
      </c>
    </row>
    <row r="73" spans="1:5">
      <c r="A73" s="15"/>
      <c r="B73" s="16" t="s">
        <v>130</v>
      </c>
      <c r="C73" s="17">
        <v>399</v>
      </c>
    </row>
    <row r="75" ht="17.25" spans="1:5">
      <c r="A75" s="13" t="s">
        <v>176</v>
      </c>
      <c r="B75" s="2"/>
      <c r="C75" s="14" t="s">
        <v>177</v>
      </c>
      <c r="D75" s="14" t="s">
        <v>178</v>
      </c>
      <c r="E75" s="14" t="s">
        <v>179</v>
      </c>
    </row>
    <row r="76" spans="1:5">
      <c r="B76" s="16" t="s">
        <v>180</v>
      </c>
      <c r="C76" s="17">
        <v>1</v>
      </c>
      <c r="D76" s="17">
        <v>1.05</v>
      </c>
      <c r="E76" s="17">
        <v>1.1</v>
      </c>
    </row>
    <row r="77" spans="1:5">
      <c r="B77" s="15"/>
      <c r="C77" s="18"/>
      <c r="D77" s="18"/>
      <c r="E77" s="18"/>
    </row>
    <row r="78" ht="15" spans="1:5">
      <c r="A78" s="19" t="s">
        <v>181</v>
      </c>
      <c r="B78" s="15"/>
      <c r="C78" s="18"/>
      <c r="D78" s="18"/>
      <c r="E78" s="18"/>
    </row>
    <row r="79" ht="15" spans="1:5">
      <c r="A79" t="s">
        <v>182</v>
      </c>
    </row>
    <row r="80" spans="1:5">
      <c r="A80" t="s">
        <v>183</v>
      </c>
    </row>
    <row r="82" ht="17.25" spans="1:11">
      <c r="A82" s="13" t="s">
        <v>184</v>
      </c>
      <c r="B82" s="2" t="s">
        <v>105</v>
      </c>
      <c r="C82" s="14" t="s">
        <v>177</v>
      </c>
      <c r="D82" s="14" t="s">
        <v>178</v>
      </c>
      <c r="E82" s="14" t="s">
        <v>179</v>
      </c>
    </row>
    <row r="83" spans="1:11">
      <c r="B83" s="16" t="s">
        <v>112</v>
      </c>
      <c r="C83" s="17">
        <f>C69*$C$76</f>
        <v>299</v>
      </c>
      <c r="D83" s="17">
        <f>C69*$D$76</f>
        <v>313.95</v>
      </c>
      <c r="E83" s="17">
        <f>C69*$E$76</f>
        <v>328.9</v>
      </c>
    </row>
    <row r="84" spans="1:11">
      <c r="B84" s="16" t="s">
        <v>117</v>
      </c>
      <c r="C84" s="17">
        <f>C70*$C$76</f>
        <v>149</v>
      </c>
      <c r="D84" s="17">
        <f>C70*$D$76</f>
        <v>156.45</v>
      </c>
      <c r="E84" s="17">
        <f>C70*$E$76</f>
        <v>163.9</v>
      </c>
    </row>
    <row r="85" spans="1:11">
      <c r="B85" s="16" t="s">
        <v>122</v>
      </c>
      <c r="C85" s="17">
        <f>C71*$C$76</f>
        <v>180</v>
      </c>
      <c r="D85" s="17">
        <f>C71*$D$76</f>
        <v>189</v>
      </c>
      <c r="E85" s="17">
        <f>C71*$E$76</f>
        <v>198</v>
      </c>
    </row>
    <row r="86" spans="1:11">
      <c r="B86" s="16" t="s">
        <v>127</v>
      </c>
      <c r="C86" s="17">
        <f>C72*$C$76</f>
        <v>120</v>
      </c>
      <c r="D86" s="17">
        <f>C72*$D$76</f>
        <v>126</v>
      </c>
      <c r="E86" s="17">
        <f>C72*$E$76</f>
        <v>132</v>
      </c>
    </row>
    <row r="87" spans="1:11">
      <c r="B87" s="16" t="s">
        <v>130</v>
      </c>
      <c r="C87" s="17">
        <f>C73*$C$76</f>
        <v>399</v>
      </c>
      <c r="D87" s="17">
        <f>C73*$D$76</f>
        <v>418.95</v>
      </c>
      <c r="E87" s="17">
        <f>C73*$E$76</f>
        <v>438.9</v>
      </c>
      <c r="I87" s="20"/>
      <c r="J87" s="7"/>
      <c r="K87" s="7"/>
    </row>
  </sheetData>
  <mergeCells count="1">
    <mergeCell ref="A1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Question1</vt:lpstr>
      <vt:lpstr>Question2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PURVA</cp:lastModifiedBy>
  <dcterms:created xsi:type="dcterms:W3CDTF">2026-07-17T08:21:00Z</dcterms:created>
  <dcterms:modified xsi:type="dcterms:W3CDTF">2026-08-06T16:29:23Z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02F4C9A472DB43FCAE5DDA607455AC8B_12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